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2"/>
  </bookViews>
  <sheets>
    <sheet name="Task_Tracker" sheetId="1" r:id="rId1"/>
    <sheet name="Budget_Analysis" sheetId="2" r:id="rId2"/>
    <sheet name="Executive_Dashboard" sheetId="3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B2" i="3" l="1"/>
  <c r="B3" i="3"/>
  <c r="C5" i="2"/>
  <c r="E5" i="2" s="1"/>
  <c r="C4" i="2"/>
  <c r="E4" i="2" s="1"/>
  <c r="C3" i="2"/>
  <c r="E3" i="2" s="1"/>
  <c r="C2" i="2"/>
  <c r="G5" i="1"/>
  <c r="G4" i="1"/>
  <c r="G3" i="1"/>
  <c r="G2" i="1"/>
  <c r="D3" i="2" l="1"/>
  <c r="D4" i="2"/>
  <c r="D2" i="2"/>
  <c r="E2" i="2"/>
  <c r="B4" i="3" s="1"/>
  <c r="D5" i="2"/>
</calcChain>
</file>

<file path=xl/sharedStrings.xml><?xml version="1.0" encoding="utf-8"?>
<sst xmlns="http://schemas.openxmlformats.org/spreadsheetml/2006/main" count="36" uniqueCount="29">
  <si>
    <t>Task_ID</t>
  </si>
  <si>
    <t>Department</t>
  </si>
  <si>
    <t>Resource_Name</t>
  </si>
  <si>
    <t>Hourly_Rate</t>
  </si>
  <si>
    <t>Hours_Logged</t>
  </si>
  <si>
    <t>Status</t>
  </si>
  <si>
    <t>T001</t>
  </si>
  <si>
    <t>T002</t>
  </si>
  <si>
    <t>T003</t>
  </si>
  <si>
    <t>T004</t>
  </si>
  <si>
    <t>Marketing</t>
  </si>
  <si>
    <t>IT</t>
  </si>
  <si>
    <t>Ops</t>
  </si>
  <si>
    <t>Alice</t>
  </si>
  <si>
    <t>Bob</t>
  </si>
  <si>
    <t>Charlie</t>
  </si>
  <si>
    <t>Dave</t>
  </si>
  <si>
    <t>Completed</t>
  </si>
  <si>
    <t>In Progress</t>
  </si>
  <si>
    <t>Dept_Category</t>
  </si>
  <si>
    <t>Allocated_Budget</t>
  </si>
  <si>
    <t>HR</t>
  </si>
  <si>
    <t>Metric</t>
  </si>
  <si>
    <t>Value</t>
  </si>
  <si>
    <t>Total Portfolio Spend</t>
  </si>
  <si>
    <t>Project Completion Rate</t>
  </si>
  <si>
    <t>Remaining Budget</t>
  </si>
  <si>
    <t>Value_1</t>
  </si>
  <si>
    <t>Value_2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</si>
</sst>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9" sqref="C9"/>
    </sheetView>
  </sheetViews>
  <sheetFormatPr defaultRowHeight="14.3" x14ac:dyDescent="0.25"/>
  <cols>
    <col min="1" max="1" width="7.375" bestFit="1" customWidth="1"/>
    <col min="2" max="2" width="11.25" bestFit="1" customWidth="1"/>
    <col min="3" max="3" width="14.75" bestFit="1" customWidth="1"/>
    <col min="4" max="4" width="11.5" bestFit="1" customWidth="1"/>
    <col min="5" max="5" width="13.125" bestFit="1" customWidth="1"/>
    <col min="6" max="6" width="9.875" bestFit="1" customWidth="1"/>
    <col min="7" max="7" width="4.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t="s">
        <v>6</v>
      </c>
      <c r="B2" t="s">
        <v>10</v>
      </c>
      <c r="C2" t="s">
        <v>13</v>
      </c>
      <c r="D2">
        <v>75</v>
      </c>
      <c r="E2">
        <v>10</v>
      </c>
      <c r="F2" t="s">
        <v>17</v>
      </c>
      <c r="G2">
        <f>D2*E2</f>
        <v>750</v>
      </c>
    </row>
    <row r="3" spans="1:7" x14ac:dyDescent="0.25">
      <c r="A3" t="s">
        <v>7</v>
      </c>
      <c r="B3" t="s">
        <v>11</v>
      </c>
      <c r="C3" t="s">
        <v>14</v>
      </c>
      <c r="D3">
        <v>120</v>
      </c>
      <c r="E3">
        <v>5</v>
      </c>
      <c r="F3" t="s">
        <v>18</v>
      </c>
      <c r="G3">
        <f>D3*E3</f>
        <v>600</v>
      </c>
    </row>
    <row r="4" spans="1:7" x14ac:dyDescent="0.25">
      <c r="A4" t="s">
        <v>8</v>
      </c>
      <c r="B4" t="s">
        <v>10</v>
      </c>
      <c r="C4" t="s">
        <v>15</v>
      </c>
      <c r="D4">
        <v>75</v>
      </c>
      <c r="E4">
        <v>20</v>
      </c>
      <c r="F4" t="s">
        <v>17</v>
      </c>
      <c r="G4">
        <f>D4*E4</f>
        <v>1500</v>
      </c>
    </row>
    <row r="5" spans="1:7" x14ac:dyDescent="0.25">
      <c r="A5" t="s">
        <v>9</v>
      </c>
      <c r="B5" t="s">
        <v>12</v>
      </c>
      <c r="C5" t="s">
        <v>16</v>
      </c>
      <c r="D5">
        <v>90</v>
      </c>
      <c r="E5">
        <v>15</v>
      </c>
      <c r="F5" t="s">
        <v>18</v>
      </c>
      <c r="G5">
        <f>D5*E5</f>
        <v>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9" sqref="E9"/>
    </sheetView>
  </sheetViews>
  <sheetFormatPr defaultRowHeight="14.3" x14ac:dyDescent="0.25"/>
  <cols>
    <col min="2" max="3" width="15.75" style="2" customWidth="1"/>
    <col min="4" max="4" width="12.75" style="3" customWidth="1"/>
    <col min="5" max="5" width="15.75" style="2" customWidth="1"/>
  </cols>
  <sheetData>
    <row r="1" spans="1:5" x14ac:dyDescent="0.25">
      <c r="A1" s="1" t="s">
        <v>19</v>
      </c>
      <c r="B1" s="1" t="s">
        <v>20</v>
      </c>
      <c r="C1" s="1" t="s">
        <v>27</v>
      </c>
      <c r="D1" s="1" t="s">
        <v>28</v>
      </c>
      <c r="E1" s="1" t="s">
        <v>28</v>
      </c>
    </row>
    <row r="2" spans="1:5" x14ac:dyDescent="0.25">
      <c r="A2" t="s">
        <v>10</v>
      </c>
      <c r="B2" s="2">
        <v>5000</v>
      </c>
      <c r="C2" s="2">
        <f>SUMIFS(Task_Tracker!G:G, Task_Tracker!B:B, A2)</f>
        <v>2250</v>
      </c>
      <c r="D2" s="3">
        <f>IFERROR(C2/B2, 0)</f>
        <v>0.45</v>
      </c>
      <c r="E2" s="2">
        <f>B2-C2</f>
        <v>2750</v>
      </c>
    </row>
    <row r="3" spans="1:5" x14ac:dyDescent="0.25">
      <c r="A3" t="s">
        <v>11</v>
      </c>
      <c r="B3" s="2">
        <v>10000</v>
      </c>
      <c r="C3" s="2">
        <f>SUMIFS(Task_Tracker!G:G, Task_Tracker!B:B, A3)</f>
        <v>600</v>
      </c>
      <c r="D3" s="3">
        <f>IFERROR(C3/B3, 0)</f>
        <v>0.06</v>
      </c>
      <c r="E3" s="2">
        <f>B3-C3</f>
        <v>9400</v>
      </c>
    </row>
    <row r="4" spans="1:5" x14ac:dyDescent="0.25">
      <c r="A4" t="s">
        <v>12</v>
      </c>
      <c r="B4" s="2">
        <v>4000</v>
      </c>
      <c r="C4" s="2">
        <f>SUMIFS(Task_Tracker!G:G, Task_Tracker!B:B, A4)</f>
        <v>1350</v>
      </c>
      <c r="D4" s="3">
        <f>IFERROR(C4/B4, 0)</f>
        <v>0.33750000000000002</v>
      </c>
      <c r="E4" s="2">
        <f>B4-C4</f>
        <v>2650</v>
      </c>
    </row>
    <row r="5" spans="1:5" x14ac:dyDescent="0.25">
      <c r="A5" t="s">
        <v>21</v>
      </c>
      <c r="B5" s="2">
        <v>2000</v>
      </c>
      <c r="C5" s="2">
        <f>SUMIFS(Task_Tracker!G:G, Task_Tracker!B:B, A5)</f>
        <v>0</v>
      </c>
      <c r="D5" s="3">
        <f>IFERROR(C5/B5, 0)</f>
        <v>0</v>
      </c>
      <c r="E5" s="2">
        <f>B5-C5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8" sqref="D18"/>
    </sheetView>
  </sheetViews>
  <sheetFormatPr defaultRowHeight="14.3" x14ac:dyDescent="0.25"/>
  <cols>
    <col min="1" max="1" width="20.75" bestFit="1" customWidth="1"/>
    <col min="4" max="4" width="18" bestFit="1" customWidth="1"/>
    <col min="5" max="5" width="20.7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f>SUM(Budget_Analysis!C:C)</f>
        <v>4200</v>
      </c>
    </row>
    <row r="3" spans="1:2" x14ac:dyDescent="0.25">
      <c r="A3" t="s">
        <v>25</v>
      </c>
      <c r="B3">
        <f>COUNTIF(Task_Tracker!F:F, "Completed")/COUNTA(Task_Tracker!A:A)</f>
        <v>0.4</v>
      </c>
    </row>
    <row r="4" spans="1:2" x14ac:dyDescent="0.25">
      <c r="A4" t="s">
        <v>26</v>
      </c>
      <c r="B4">
        <f>SUM(Budget_Analysis!E:E)</f>
        <v>16800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Task_Tracker</vt:lpstr>
      <vt:lpstr>Budget_Analysis</vt:lpstr>
      <vt:lpstr>Executive_Dashboard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Arindam Adak</cp:lastModifiedBy>
  <dcterms:created xsi:type="dcterms:W3CDTF">2026-01-21T10:11:24Z</dcterms:created>
  <dcterms:modified xsi:type="dcterms:W3CDTF">2026-01-21T10:25:24Z</dcterms:modified>
</cp:coreProperties>
</file>