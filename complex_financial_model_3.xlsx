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nd\Documents\GitHub\LangGraph\LangGraph\"/>
    </mc:Choice>
  </mc:AlternateContent>
  <bookViews>
    <workbookView xWindow="245" yWindow="14" windowWidth="16098" windowHeight="9659" activeTab="4"/>
  </bookViews>
  <sheets>
    <sheet name="Discounts" sheetId="6" r:id="rId1"/>
    <sheet name="Global_Margins" sheetId="7" r:id="rId2"/>
    <sheet name="Tax" sheetId="5" r:id="rId3"/>
    <sheet name="Products" sheetId="2" r:id="rId4"/>
    <sheet name="Sales" sheetId="3" r:id="rId5"/>
    <sheet name="Financials" sheetId="4" r:id="rId6"/>
  </sheets>
  <calcPr calcId="152511"/>
  <fileRecoveryPr repairLoad="1"/>
</workbook>
</file>

<file path=xl/calcChain.xml><?xml version="1.0" encoding="utf-8"?>
<calcChain xmlns="http://schemas.openxmlformats.org/spreadsheetml/2006/main">
  <c r="D2" i="3" l="1"/>
  <c r="A2" i="4" l="1"/>
  <c r="B2" i="4" s="1"/>
  <c r="C2" i="4" s="1"/>
  <c r="D3" i="3"/>
  <c r="D4" i="3"/>
  <c r="D5" i="3"/>
  <c r="D6" i="3"/>
</calcChain>
</file>

<file path=xl/sharedStrings.xml><?xml version="1.0" encoding="utf-8"?>
<sst xmlns="http://schemas.openxmlformats.org/spreadsheetml/2006/main" count="37" uniqueCount="22">
  <si>
    <t>Value</t>
  </si>
  <si>
    <t>Tax_Rate</t>
  </si>
  <si>
    <t>Global_Margin</t>
  </si>
  <si>
    <t>ProductID</t>
  </si>
  <si>
    <t>Name</t>
  </si>
  <si>
    <t>BasePrice</t>
  </si>
  <si>
    <t>P001</t>
  </si>
  <si>
    <t>P002</t>
  </si>
  <si>
    <t>P003</t>
  </si>
  <si>
    <t>P004</t>
  </si>
  <si>
    <t>Widget A</t>
  </si>
  <si>
    <t>Gadget B</t>
  </si>
  <si>
    <t>Tool C</t>
  </si>
  <si>
    <t>System D</t>
  </si>
  <si>
    <t>TransactionID</t>
  </si>
  <si>
    <t>Quantity</t>
  </si>
  <si>
    <t>Discount</t>
  </si>
  <si>
    <t>Global_Margins</t>
  </si>
  <si>
    <t>Values</t>
  </si>
  <si>
    <t>Price_Adjusted</t>
  </si>
  <si>
    <t>Total_Sales</t>
  </si>
  <si>
    <t>Profit_Loss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</si>
</sst>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13" sqref="E13"/>
    </sheetView>
  </sheetViews>
  <sheetFormatPr defaultRowHeight="14.3" x14ac:dyDescent="0.25"/>
  <sheetData>
    <row r="1" spans="1:2" x14ac:dyDescent="0.25">
      <c r="A1" t="s">
        <v>16</v>
      </c>
      <c r="B1" t="s">
        <v>0</v>
      </c>
    </row>
    <row r="2" spans="1:2" x14ac:dyDescent="0.25">
      <c r="A2" t="s">
        <v>6</v>
      </c>
      <c r="B2">
        <v>2</v>
      </c>
    </row>
    <row r="3" spans="1:2" x14ac:dyDescent="0.25">
      <c r="A3" t="s">
        <v>7</v>
      </c>
      <c r="B3">
        <v>3</v>
      </c>
    </row>
    <row r="4" spans="1:2" x14ac:dyDescent="0.25">
      <c r="A4" t="s">
        <v>8</v>
      </c>
      <c r="B4">
        <v>4</v>
      </c>
    </row>
    <row r="5" spans="1:2" x14ac:dyDescent="0.25">
      <c r="A5" t="s">
        <v>9</v>
      </c>
      <c r="B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17" sqref="F17"/>
    </sheetView>
  </sheetViews>
  <sheetFormatPr defaultRowHeight="14.3" x14ac:dyDescent="0.25"/>
  <cols>
    <col min="1" max="1" width="13.875" bestFit="1" customWidth="1"/>
  </cols>
  <sheetData>
    <row r="1" spans="1:2" x14ac:dyDescent="0.25">
      <c r="A1" t="s">
        <v>2</v>
      </c>
      <c r="B1" t="s">
        <v>18</v>
      </c>
    </row>
    <row r="2" spans="1:2" x14ac:dyDescent="0.25">
      <c r="A2">
        <v>5000</v>
      </c>
      <c r="B2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2" sqref="A2:A5"/>
    </sheetView>
  </sheetViews>
  <sheetFormatPr defaultRowHeight="14.3" x14ac:dyDescent="0.25"/>
  <cols>
    <col min="1" max="1" width="8.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6</v>
      </c>
      <c r="B2">
        <v>0.12</v>
      </c>
    </row>
    <row r="3" spans="1:2" x14ac:dyDescent="0.25">
      <c r="A3" t="s">
        <v>7</v>
      </c>
      <c r="B3">
        <v>0.05</v>
      </c>
    </row>
    <row r="4" spans="1:2" x14ac:dyDescent="0.25">
      <c r="A4" t="s">
        <v>8</v>
      </c>
      <c r="B4">
        <v>8.9999999999999993E-3</v>
      </c>
    </row>
    <row r="5" spans="1:2" x14ac:dyDescent="0.25">
      <c r="A5" t="s">
        <v>9</v>
      </c>
      <c r="B5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6" sqref="D6"/>
    </sheetView>
  </sheetViews>
  <sheetFormatPr defaultRowHeight="14.3" x14ac:dyDescent="0.25"/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t="s">
        <v>6</v>
      </c>
      <c r="B2" t="s">
        <v>10</v>
      </c>
      <c r="C2">
        <v>100</v>
      </c>
    </row>
    <row r="3" spans="1:3" x14ac:dyDescent="0.25">
      <c r="A3" t="s">
        <v>7</v>
      </c>
      <c r="B3" t="s">
        <v>11</v>
      </c>
      <c r="C3">
        <v>250</v>
      </c>
    </row>
    <row r="4" spans="1:3" x14ac:dyDescent="0.25">
      <c r="A4" t="s">
        <v>8</v>
      </c>
      <c r="B4" t="s">
        <v>12</v>
      </c>
      <c r="C4">
        <v>50</v>
      </c>
    </row>
    <row r="5" spans="1:3" x14ac:dyDescent="0.25">
      <c r="A5" t="s">
        <v>9</v>
      </c>
      <c r="B5" t="s">
        <v>13</v>
      </c>
      <c r="C5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K11" sqref="K11"/>
    </sheetView>
  </sheetViews>
  <sheetFormatPr defaultRowHeight="14.3" x14ac:dyDescent="0.25"/>
  <cols>
    <col min="4" max="4" width="17.875" bestFit="1" customWidth="1"/>
  </cols>
  <sheetData>
    <row r="1" spans="1:4" x14ac:dyDescent="0.25">
      <c r="A1" s="1" t="s">
        <v>14</v>
      </c>
      <c r="B1" s="1" t="s">
        <v>3</v>
      </c>
      <c r="C1" s="1" t="s">
        <v>15</v>
      </c>
      <c r="D1" s="1" t="s">
        <v>19</v>
      </c>
    </row>
    <row r="2" spans="1:4" x14ac:dyDescent="0.25">
      <c r="A2">
        <v>1</v>
      </c>
      <c r="B2" t="s">
        <v>6</v>
      </c>
      <c r="C2">
        <v>10</v>
      </c>
      <c r="D2">
        <f>VLOOKUP(B2,Products!$A$2:$C$5,3, FALSE) * C2 - (C2 * VLOOKUP(B2,Products!$A$2:$C$5, 3, FALSE) * VLOOKUP(B2,Tax!$A$2:$B$5, 2, FALSE)) - (C2 * VLOOKUP(B2, Discounts!$A$2:$B$5, 2, FALSE))</f>
        <v>860</v>
      </c>
    </row>
    <row r="3" spans="1:4" x14ac:dyDescent="0.25">
      <c r="A3">
        <v>2</v>
      </c>
      <c r="B3" t="s">
        <v>9</v>
      </c>
      <c r="C3">
        <v>2</v>
      </c>
      <c r="D3">
        <f>VLOOKUP(B3,Products!$A$2:$C$5,3, FALSE) * C3 - (C3 * VLOOKUP(B3,Products!$A$2:$C$5, 3, FALSE) * VLOOKUP(B3,Tax!$A$2:$B$5, 2, FALSE)) - (C3 * VLOOKUP(B3, Discounts!$A$2:$B$5, 2, FALSE))</f>
        <v>2372</v>
      </c>
    </row>
    <row r="4" spans="1:4" x14ac:dyDescent="0.25">
      <c r="A4">
        <v>3</v>
      </c>
      <c r="B4" t="s">
        <v>7</v>
      </c>
      <c r="C4">
        <v>5</v>
      </c>
      <c r="D4">
        <f>VLOOKUP(B4,Products!$A$2:$C$5,3, FALSE) * C4 - (C4 * VLOOKUP(B4,Products!$A$2:$C$5, 3, FALSE) * VLOOKUP(B4,Tax!$A$2:$B$5, 2, FALSE)) - (C4 * VLOOKUP(B4, Discounts!$A$2:$B$5, 2, FALSE))</f>
        <v>1172.5</v>
      </c>
    </row>
    <row r="5" spans="1:4" x14ac:dyDescent="0.25">
      <c r="A5">
        <v>4</v>
      </c>
      <c r="B5" t="s">
        <v>8</v>
      </c>
      <c r="C5">
        <v>20</v>
      </c>
      <c r="D5">
        <f>VLOOKUP(B5,Products!$A$2:$C$5,3, FALSE) * C5 - (C5 * VLOOKUP(B5,Products!$A$2:$C$5, 3, FALSE) * VLOOKUP(B5,Tax!$A$2:$B$5, 2, FALSE)) - (C5 * VLOOKUP(B5, Discounts!$A$2:$B$5, 2, FALSE))</f>
        <v>911</v>
      </c>
    </row>
    <row r="6" spans="1:4" x14ac:dyDescent="0.25">
      <c r="A6">
        <v>5</v>
      </c>
      <c r="B6" t="s">
        <v>6</v>
      </c>
      <c r="C6">
        <v>1</v>
      </c>
      <c r="D6">
        <f>VLOOKUP(B6,Products!$A$2:$C$5,3, FALSE) * C6 - (C6 * VLOOKUP(B6,Products!$A$2:$C$5, 3, FALSE) * VLOOKUP(B6,Tax!$A$2:$B$5, 2, FALSE)) - (C6 * VLOOKUP(B6, Discounts!$A$2:$B$5, 2, FALSE))</f>
        <v>86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S12" sqref="S12"/>
    </sheetView>
  </sheetViews>
  <sheetFormatPr defaultRowHeight="14.3" x14ac:dyDescent="0.25"/>
  <cols>
    <col min="1" max="1" width="13.125" bestFit="1" customWidth="1"/>
    <col min="2" max="2" width="13.875" bestFit="1" customWidth="1"/>
  </cols>
  <sheetData>
    <row r="1" spans="1:3" x14ac:dyDescent="0.25">
      <c r="A1" t="s">
        <v>20</v>
      </c>
      <c r="B1" t="s">
        <v>17</v>
      </c>
      <c r="C1" t="s">
        <v>21</v>
      </c>
    </row>
    <row r="2" spans="1:3" x14ac:dyDescent="0.25">
      <c r="A2">
        <f>SUM(Sales!D2:D6)</f>
        <v>5401.5</v>
      </c>
      <c r="B2">
        <f>A2-(A2*Global_Margins!B2)</f>
        <v>4915.3649999999998</v>
      </c>
      <c r="C2" t="str">
        <f>IF(B2&gt;Global_Margins!A2, "Profit", "Loss")</f>
        <v>Loss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Discounts</vt:lpstr>
      <vt:lpstr>Global_Margins</vt:lpstr>
      <vt:lpstr>Tax</vt:lpstr>
      <vt:lpstr>Products</vt:lpstr>
      <vt:lpstr>Sales</vt:lpstr>
      <vt:lpstr>Financials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Arindam Adak</dc:creator>
  <cp:lastModifiedBy>Arindam Adak</cp:lastModifiedBy>
  <dcterms:created xsi:type="dcterms:W3CDTF">2026-01-20T06:00:42Z</dcterms:created>
  <dcterms:modified xsi:type="dcterms:W3CDTF">2026-01-20T13:00:32Z</dcterms:modified>
</cp:coreProperties>
</file>